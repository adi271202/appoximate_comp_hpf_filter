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aisa\approximate_comp\filters_hdl\results\"/>
    </mc:Choice>
  </mc:AlternateContent>
  <xr:revisionPtr revIDLastSave="0" documentId="13_ncr:1_{B443F1A9-A6B8-4DB0-9D54-741A5DB4AA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8" i="1"/>
  <c r="H6" i="1"/>
  <c r="H10" i="1"/>
  <c r="H4" i="1"/>
</calcChain>
</file>

<file path=xl/sharedStrings.xml><?xml version="1.0" encoding="utf-8"?>
<sst xmlns="http://schemas.openxmlformats.org/spreadsheetml/2006/main" count="12" uniqueCount="12">
  <si>
    <t xml:space="preserve">Sr No </t>
  </si>
  <si>
    <t xml:space="preserve">App time </t>
  </si>
  <si>
    <t xml:space="preserve">LUTs </t>
  </si>
  <si>
    <t xml:space="preserve">FFs </t>
  </si>
  <si>
    <t xml:space="preserve">Freq(MHz) </t>
  </si>
  <si>
    <t>Exact</t>
  </si>
  <si>
    <t>Power(mW)</t>
  </si>
  <si>
    <t>Half AFA</t>
  </si>
  <si>
    <t xml:space="preserve">AFA 1 </t>
  </si>
  <si>
    <t xml:space="preserve">AFA 2 </t>
  </si>
  <si>
    <t xml:space="preserve">AFA 3 </t>
  </si>
  <si>
    <t xml:space="preserve">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</si>
</sst>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"/>
  <sheetViews>
    <sheetView tabSelected="1" workbookViewId="0">
      <selection activeCell="J4" sqref="J4"/>
    </sheetView>
  </sheetViews>
  <sheetFormatPr defaultRowHeight="14.5" x14ac:dyDescent="0.35"/>
  <cols>
    <col min="8" max="8" width="11.81640625" bestFit="1" customWidth="1"/>
  </cols>
  <sheetData>
    <row r="2" spans="1:12" x14ac:dyDescent="0.35">
      <c r="A2" t="s">
        <v>0</v>
      </c>
      <c r="C2" t="s">
        <v>1</v>
      </c>
      <c r="E2" t="s">
        <v>2</v>
      </c>
      <c r="F2" t="s">
        <v>3</v>
      </c>
      <c r="H2" t="s">
        <v>4</v>
      </c>
      <c r="J2" t="s">
        <v>6</v>
      </c>
      <c r="L2" t="s">
        <v>11</v>
      </c>
    </row>
    <row r="4" spans="1:12" x14ac:dyDescent="0.35">
      <c r="A4">
        <v>1</v>
      </c>
      <c r="C4" t="s">
        <v>5</v>
      </c>
      <c r="E4">
        <v>1497</v>
      </c>
      <c r="F4">
        <v>482</v>
      </c>
      <c r="H4">
        <f>(1/(10-2.53)*10^3)</f>
        <v>133.86880856760374</v>
      </c>
      <c r="J4">
        <v>25</v>
      </c>
    </row>
    <row r="6" spans="1:12" x14ac:dyDescent="0.35">
      <c r="A6">
        <v>2</v>
      </c>
      <c r="C6" t="s">
        <v>7</v>
      </c>
      <c r="E6">
        <v>1429</v>
      </c>
      <c r="F6">
        <v>482</v>
      </c>
      <c r="H6">
        <f>(1/(10-3.261)*10^3)</f>
        <v>148.38996883810654</v>
      </c>
      <c r="J6">
        <v>25</v>
      </c>
    </row>
    <row r="8" spans="1:12" x14ac:dyDescent="0.35">
      <c r="A8">
        <v>3</v>
      </c>
      <c r="C8" t="s">
        <v>8</v>
      </c>
      <c r="E8">
        <v>1204</v>
      </c>
      <c r="F8">
        <v>482</v>
      </c>
      <c r="H8">
        <f>(1/(10-3.532)*10^3)</f>
        <v>154.60729746444034</v>
      </c>
      <c r="J8">
        <v>24</v>
      </c>
    </row>
    <row r="10" spans="1:12" x14ac:dyDescent="0.35">
      <c r="A10">
        <v>4</v>
      </c>
      <c r="C10" t="s">
        <v>9</v>
      </c>
      <c r="E10">
        <v>1461</v>
      </c>
      <c r="F10">
        <v>482</v>
      </c>
      <c r="H10">
        <f>(1/(10-4.214)*10^3)</f>
        <v>172.83097131005877</v>
      </c>
      <c r="J10">
        <v>22</v>
      </c>
    </row>
    <row r="12" spans="1:12" x14ac:dyDescent="0.35">
      <c r="A12">
        <v>5</v>
      </c>
      <c r="C12" t="s">
        <v>10</v>
      </c>
      <c r="E12">
        <v>1176</v>
      </c>
      <c r="F12">
        <v>482</v>
      </c>
      <c r="H12">
        <f>(1/(10-3.49)*10^3)</f>
        <v>153.60983102918587</v>
      </c>
      <c r="J1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Mathuriya</dc:creator>
  <cp:lastModifiedBy>Aditya Mathuriya</cp:lastModifiedBy>
  <dcterms:created xsi:type="dcterms:W3CDTF">2015-06-05T18:17:20Z</dcterms:created>
  <dcterms:modified xsi:type="dcterms:W3CDTF">2025-07-17T15:53:12Z</dcterms:modified>
</cp:coreProperties>
</file>